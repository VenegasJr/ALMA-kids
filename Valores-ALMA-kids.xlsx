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enegascarlos/Documents/BackUp/ALMA kids Web/"/>
    </mc:Choice>
  </mc:AlternateContent>
  <xr:revisionPtr revIDLastSave="0" documentId="13_ncr:1_{35089E58-8E37-414C-BA73-3B4B88A66832}" xr6:coauthVersionLast="47" xr6:coauthVersionMax="47" xr10:uidLastSave="{00000000-0000-0000-0000-000000000000}"/>
  <bookViews>
    <workbookView xWindow="380" yWindow="620" windowWidth="28040" windowHeight="15880" xr2:uid="{55B1CDBD-7B0A-6B41-8268-38E5DC289BF4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1" l="1"/>
  <c r="K14" i="1" s="1"/>
  <c r="J9" i="1"/>
  <c r="K9" i="1" s="1"/>
  <c r="J10" i="1"/>
  <c r="K10" i="1" s="1"/>
  <c r="J11" i="1"/>
  <c r="K11" i="1" s="1"/>
  <c r="J12" i="1"/>
  <c r="K12" i="1" s="1"/>
  <c r="J13" i="1"/>
  <c r="K13" i="1" s="1"/>
  <c r="J8" i="1"/>
  <c r="K8" i="1" s="1"/>
  <c r="J7" i="1"/>
  <c r="K7" i="1" s="1"/>
</calcChain>
</file>

<file path=xl/sharedStrings.xml><?xml version="1.0" encoding="utf-8"?>
<sst xmlns="http://schemas.openxmlformats.org/spreadsheetml/2006/main" count="111" uniqueCount="83">
  <si>
    <t>Categoria</t>
  </si>
  <si>
    <t>Nombre</t>
  </si>
  <si>
    <t>Codigo</t>
  </si>
  <si>
    <t>ID Interno</t>
  </si>
  <si>
    <t>Precio Base (CLP)</t>
  </si>
  <si>
    <t>IVA %</t>
  </si>
  <si>
    <t>Precio con IVA (CLP)</t>
  </si>
  <si>
    <t>Pack/Plan</t>
  </si>
  <si>
    <t>Incluye</t>
  </si>
  <si>
    <t>Capacidad</t>
  </si>
  <si>
    <t>Edad Recomendada</t>
  </si>
  <si>
    <t>Duración</t>
  </si>
  <si>
    <t>Transporte Incluido</t>
  </si>
  <si>
    <t>Imagen</t>
  </si>
  <si>
    <t>Notas</t>
  </si>
  <si>
    <t>Castillos Inflables</t>
  </si>
  <si>
    <t>Castillo Rosas</t>
  </si>
  <si>
    <t>CI-ROS-001</t>
  </si>
  <si>
    <t>castillo-rosas</t>
  </si>
  <si>
    <t>Pack Fiesta Rosa</t>
  </si>
  <si>
    <t>4 niños</t>
  </si>
  <si>
    <t>2 a 7 años</t>
  </si>
  <si>
    <t>4 horas</t>
  </si>
  <si>
    <t>Sí</t>
  </si>
  <si>
    <t>imagenes/Castillo</t>
  </si>
  <si>
    <t> Piscina cuadrada.png</t>
  </si>
  <si>
    <t>Castillo Inflable</t>
  </si>
  <si>
    <t>CI-RED-001</t>
  </si>
  <si>
    <t>castillo-redondo</t>
  </si>
  <si>
    <t>Pack Piscina Redonda</t>
  </si>
  <si>
    <t>imagenes/Castillo-Piscina-redonda.png</t>
  </si>
  <si>
    <t>Servicios Adicionales</t>
  </si>
  <si>
    <t>Carpa Tipi para nuestros pequeños - alto 160 cm</t>
  </si>
  <si>
    <t>CT-001</t>
  </si>
  <si>
    <t>carpa-tipi</t>
  </si>
  <si>
    <t>Pack Tipi Básico</t>
  </si>
  <si>
    <t>N/A</t>
  </si>
  <si>
    <t>Para niños</t>
  </si>
  <si>
    <t>Servicios adicionales/carpa-tipi.jpg</t>
  </si>
  <si>
    <t>Inflable Saltarín De Peluche Carestino</t>
  </si>
  <si>
    <t>IS-CARE-001</t>
  </si>
  <si>
    <t>inflable-carestino</t>
  </si>
  <si>
    <t>Pack Carestino</t>
  </si>
  <si>
    <t>20 kg máx</t>
  </si>
  <si>
    <t>18 meses a 5 años</t>
  </si>
  <si>
    <t>Servicios adicionales/Inflable-saltarin-de-eluche-carestino-18m.jpg</t>
  </si>
  <si>
    <t>Máquina de Burbujas</t>
  </si>
  <si>
    <t>MB-001</t>
  </si>
  <si>
    <t>maquina-burbujas</t>
  </si>
  <si>
    <t>Pack Burbujas</t>
  </si>
  <si>
    <t>Todas las edades</t>
  </si>
  <si>
    <t>1 hora</t>
  </si>
  <si>
    <t>imagenes/Maquina-burbuja-.png</t>
  </si>
  <si>
    <t>Piscina de Pelotas</t>
  </si>
  <si>
    <t>Piscina - Pelotas Celestes</t>
  </si>
  <si>
    <t>PP-CEL-001</t>
  </si>
  <si>
    <t>plaza-azul</t>
  </si>
  <si>
    <t>Pack Celeste</t>
  </si>
  <si>
    <t>6 meses a 7 años</t>
  </si>
  <si>
    <t>imagenes/Nuestra Plaza blanda/Plaza-Blanda-Pelotas-Azules.png</t>
  </si>
  <si>
    <t>Piscina - Pelotas Rosadas</t>
  </si>
  <si>
    <t>PP-ROS-001</t>
  </si>
  <si>
    <t>plaza-rosa</t>
  </si>
  <si>
    <t>Pack Rosado</t>
  </si>
  <si>
    <t>imagenes/Nuestra Plaza blanda/Plaza-Planda-pelotas-rosadas V.png</t>
  </si>
  <si>
    <t>Set Motricicidad</t>
  </si>
  <si>
    <t>Escalera, cuña, tunel</t>
  </si>
  <si>
    <t>SM-ESC-001</t>
  </si>
  <si>
    <t>Set-motricidad</t>
  </si>
  <si>
    <t>Ta</t>
  </si>
  <si>
    <t xml:space="preserve">Castillo, piscina de pelotas a colores a eleccion, tatami, Lona del inflable, Tranformador energia, </t>
  </si>
  <si>
    <t>Carpa, 4 soportes, ventana lateral, cogines, base.</t>
  </si>
  <si>
    <t>Inflable peluche,Cubierta suave</t>
  </si>
  <si>
    <t>Máquina, Liquido burbujas,  0.7L.</t>
  </si>
  <si>
    <t>Piscina 150x150x40, colores de pelotas a eleccion</t>
  </si>
  <si>
    <t>Set 1 Basico</t>
  </si>
  <si>
    <t>Set basico</t>
  </si>
  <si>
    <t>SE-BAC-001</t>
  </si>
  <si>
    <t>Set-basico</t>
  </si>
  <si>
    <t>Set Basico</t>
  </si>
  <si>
    <t>Castillo, piscina de pelotas a colores a eleccion, tatami, Lona del inflable, Tranformador energia, Piscina 150x150x40, colores de pelotas a eleccion</t>
  </si>
  <si>
    <t>Si</t>
  </si>
  <si>
    <t>imagenes/Castillo, imagenes/Nuestra Plaza blanda/Plaza-Blanda-Pelotas-Azules.png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</si>
</sst>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0" xfId="0" applyFont="1"/>
    <xf numFmtId="41" fontId="4" fillId="0" borderId="0" xfId="1" applyFont="1"/>
  </cellXfs>
  <cellStyles count="2">
    <cellStyle name="Millare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4425E-CE92-EA49-8EA3-917401638EBC}">
  <dimension ref="E6:T16"/>
  <sheetViews>
    <sheetView tabSelected="1" topLeftCell="D1" workbookViewId="0">
      <selection activeCell="K7" activeCellId="1" sqref="H7:H14 K7:K14"/>
    </sheetView>
  </sheetViews>
  <sheetFormatPr baseColWidth="10" defaultColWidth="24.6640625" defaultRowHeight="16" x14ac:dyDescent="0.2"/>
  <cols>
    <col min="9" max="9" width="14.5" customWidth="1"/>
  </cols>
  <sheetData>
    <row r="6" spans="5:20" x14ac:dyDescent="0.2">
      <c r="E6" s="1" t="s">
        <v>0</v>
      </c>
      <c r="F6" s="1" t="s">
        <v>1</v>
      </c>
      <c r="G6" s="1" t="s">
        <v>2</v>
      </c>
      <c r="H6" s="1" t="s">
        <v>3</v>
      </c>
      <c r="I6" s="1" t="s">
        <v>4</v>
      </c>
      <c r="J6" s="1" t="s">
        <v>5</v>
      </c>
      <c r="K6" s="1" t="s">
        <v>6</v>
      </c>
      <c r="L6" s="1" t="s">
        <v>7</v>
      </c>
      <c r="M6" s="1" t="s">
        <v>8</v>
      </c>
      <c r="N6" s="1" t="s">
        <v>9</v>
      </c>
      <c r="O6" s="1" t="s">
        <v>10</v>
      </c>
      <c r="P6" s="1" t="s">
        <v>11</v>
      </c>
      <c r="Q6" s="1" t="s">
        <v>12</v>
      </c>
      <c r="R6" s="1" t="s">
        <v>13</v>
      </c>
      <c r="S6" s="1" t="s">
        <v>14</v>
      </c>
      <c r="T6" s="2"/>
    </row>
    <row r="7" spans="5:20" x14ac:dyDescent="0.2">
      <c r="E7" s="1" t="s">
        <v>15</v>
      </c>
      <c r="F7" s="3" t="s">
        <v>16</v>
      </c>
      <c r="G7" s="3" t="s">
        <v>17</v>
      </c>
      <c r="H7" s="3" t="s">
        <v>18</v>
      </c>
      <c r="I7" s="4">
        <v>63025</v>
      </c>
      <c r="J7" s="4">
        <f>I7*0.19</f>
        <v>11974.75</v>
      </c>
      <c r="K7" s="4">
        <f>I7+J7</f>
        <v>74999.75</v>
      </c>
      <c r="L7" s="3" t="s">
        <v>19</v>
      </c>
      <c r="M7" s="3" t="s">
        <v>70</v>
      </c>
      <c r="N7" s="3" t="s">
        <v>20</v>
      </c>
      <c r="O7" s="3" t="s">
        <v>21</v>
      </c>
      <c r="P7" s="3" t="s">
        <v>22</v>
      </c>
      <c r="Q7" s="3" t="s">
        <v>23</v>
      </c>
      <c r="R7" s="3" t="s">
        <v>24</v>
      </c>
      <c r="S7" s="3" t="s">
        <v>25</v>
      </c>
      <c r="T7" s="2"/>
    </row>
    <row r="8" spans="5:20" x14ac:dyDescent="0.2">
      <c r="E8" s="1" t="s">
        <v>15</v>
      </c>
      <c r="F8" s="3" t="s">
        <v>26</v>
      </c>
      <c r="G8" s="3" t="s">
        <v>27</v>
      </c>
      <c r="H8" s="3" t="s">
        <v>28</v>
      </c>
      <c r="I8" s="4">
        <v>63026</v>
      </c>
      <c r="J8" s="4">
        <f>I8*0.19</f>
        <v>11974.94</v>
      </c>
      <c r="K8" s="4">
        <f>I8+J8</f>
        <v>75000.94</v>
      </c>
      <c r="L8" s="3" t="s">
        <v>29</v>
      </c>
      <c r="M8" s="3" t="s">
        <v>70</v>
      </c>
      <c r="N8" s="3" t="s">
        <v>20</v>
      </c>
      <c r="O8" s="3" t="s">
        <v>21</v>
      </c>
      <c r="P8" s="3" t="s">
        <v>22</v>
      </c>
      <c r="Q8" s="3" t="s">
        <v>23</v>
      </c>
      <c r="R8" s="3" t="s">
        <v>30</v>
      </c>
      <c r="S8" s="2"/>
      <c r="T8" s="2"/>
    </row>
    <row r="9" spans="5:20" x14ac:dyDescent="0.2">
      <c r="E9" s="1" t="s">
        <v>31</v>
      </c>
      <c r="F9" s="3" t="s">
        <v>32</v>
      </c>
      <c r="G9" s="3" t="s">
        <v>33</v>
      </c>
      <c r="H9" s="3" t="s">
        <v>34</v>
      </c>
      <c r="I9" s="4">
        <v>12605</v>
      </c>
      <c r="J9" s="4">
        <f t="shared" ref="J9:J14" si="0">I9*0.19</f>
        <v>2394.9499999999998</v>
      </c>
      <c r="K9" s="4">
        <f t="shared" ref="K9:K14" si="1">I9+J9</f>
        <v>14999.95</v>
      </c>
      <c r="L9" s="3" t="s">
        <v>35</v>
      </c>
      <c r="M9" s="3" t="s">
        <v>71</v>
      </c>
      <c r="N9" s="3" t="s">
        <v>36</v>
      </c>
      <c r="O9" s="3" t="s">
        <v>37</v>
      </c>
      <c r="P9" s="3" t="s">
        <v>36</v>
      </c>
      <c r="Q9" s="3" t="s">
        <v>36</v>
      </c>
      <c r="R9" s="3" t="s">
        <v>38</v>
      </c>
      <c r="S9" s="2"/>
      <c r="T9" s="2"/>
    </row>
    <row r="10" spans="5:20" x14ac:dyDescent="0.2">
      <c r="E10" s="1" t="s">
        <v>31</v>
      </c>
      <c r="F10" s="3" t="s">
        <v>39</v>
      </c>
      <c r="G10" s="3" t="s">
        <v>40</v>
      </c>
      <c r="H10" s="3" t="s">
        <v>41</v>
      </c>
      <c r="I10" s="4">
        <v>12605</v>
      </c>
      <c r="J10" s="4">
        <f t="shared" si="0"/>
        <v>2394.9499999999998</v>
      </c>
      <c r="K10" s="4">
        <f t="shared" si="1"/>
        <v>14999.95</v>
      </c>
      <c r="L10" s="3" t="s">
        <v>42</v>
      </c>
      <c r="M10" s="3" t="s">
        <v>72</v>
      </c>
      <c r="N10" s="3" t="s">
        <v>43</v>
      </c>
      <c r="O10" s="3" t="s">
        <v>44</v>
      </c>
      <c r="P10" s="3" t="s">
        <v>36</v>
      </c>
      <c r="Q10" s="3" t="s">
        <v>36</v>
      </c>
      <c r="R10" s="3" t="s">
        <v>45</v>
      </c>
      <c r="S10" s="2"/>
      <c r="T10" s="2"/>
    </row>
    <row r="11" spans="5:20" x14ac:dyDescent="0.2">
      <c r="E11" s="1" t="s">
        <v>31</v>
      </c>
      <c r="F11" s="3" t="s">
        <v>46</v>
      </c>
      <c r="G11" s="3" t="s">
        <v>47</v>
      </c>
      <c r="H11" s="3" t="s">
        <v>48</v>
      </c>
      <c r="I11" s="4">
        <v>12605</v>
      </c>
      <c r="J11" s="4">
        <f t="shared" si="0"/>
        <v>2394.9499999999998</v>
      </c>
      <c r="K11" s="4">
        <f t="shared" si="1"/>
        <v>14999.95</v>
      </c>
      <c r="L11" s="3" t="s">
        <v>49</v>
      </c>
      <c r="M11" s="3" t="s">
        <v>73</v>
      </c>
      <c r="N11" s="3" t="s">
        <v>36</v>
      </c>
      <c r="O11" s="3" t="s">
        <v>50</v>
      </c>
      <c r="P11" s="3" t="s">
        <v>51</v>
      </c>
      <c r="Q11" s="3" t="s">
        <v>36</v>
      </c>
      <c r="R11" s="3" t="s">
        <v>52</v>
      </c>
      <c r="S11" s="2"/>
      <c r="T11" s="2"/>
    </row>
    <row r="12" spans="5:20" x14ac:dyDescent="0.2">
      <c r="E12" s="1" t="s">
        <v>53</v>
      </c>
      <c r="F12" s="3" t="s">
        <v>54</v>
      </c>
      <c r="G12" s="3" t="s">
        <v>55</v>
      </c>
      <c r="H12" s="3" t="s">
        <v>56</v>
      </c>
      <c r="I12" s="4">
        <v>46219</v>
      </c>
      <c r="J12" s="4">
        <f t="shared" si="0"/>
        <v>8781.61</v>
      </c>
      <c r="K12" s="4">
        <f t="shared" si="1"/>
        <v>55000.61</v>
      </c>
      <c r="L12" s="3" t="s">
        <v>57</v>
      </c>
      <c r="M12" s="3" t="s">
        <v>74</v>
      </c>
      <c r="N12" s="3" t="s">
        <v>36</v>
      </c>
      <c r="O12" s="3" t="s">
        <v>58</v>
      </c>
      <c r="P12" s="3" t="s">
        <v>22</v>
      </c>
      <c r="Q12" s="3" t="s">
        <v>23</v>
      </c>
      <c r="R12" s="3" t="s">
        <v>59</v>
      </c>
      <c r="S12" s="2"/>
      <c r="T12" s="2"/>
    </row>
    <row r="13" spans="5:20" x14ac:dyDescent="0.2">
      <c r="E13" s="1" t="s">
        <v>53</v>
      </c>
      <c r="F13" s="3" t="s">
        <v>60</v>
      </c>
      <c r="G13" s="3" t="s">
        <v>61</v>
      </c>
      <c r="H13" s="3" t="s">
        <v>62</v>
      </c>
      <c r="I13" s="4">
        <v>46219</v>
      </c>
      <c r="J13" s="4">
        <f t="shared" si="0"/>
        <v>8781.61</v>
      </c>
      <c r="K13" s="4">
        <f t="shared" si="1"/>
        <v>55000.61</v>
      </c>
      <c r="L13" s="3" t="s">
        <v>63</v>
      </c>
      <c r="M13" s="3" t="s">
        <v>74</v>
      </c>
      <c r="N13" s="3" t="s">
        <v>36</v>
      </c>
      <c r="O13" s="3" t="s">
        <v>58</v>
      </c>
      <c r="P13" s="3" t="s">
        <v>22</v>
      </c>
      <c r="Q13" s="3" t="s">
        <v>23</v>
      </c>
      <c r="R13" s="3" t="s">
        <v>64</v>
      </c>
      <c r="S13" s="2"/>
      <c r="T13" s="2"/>
    </row>
    <row r="14" spans="5:20" x14ac:dyDescent="0.2">
      <c r="E14" s="1" t="s">
        <v>65</v>
      </c>
      <c r="F14" s="3" t="s">
        <v>66</v>
      </c>
      <c r="G14" s="3" t="s">
        <v>67</v>
      </c>
      <c r="H14" s="3" t="s">
        <v>68</v>
      </c>
      <c r="I14" s="4">
        <v>37816</v>
      </c>
      <c r="J14" s="4">
        <f t="shared" si="0"/>
        <v>7185.04</v>
      </c>
      <c r="K14" s="4">
        <f t="shared" si="1"/>
        <v>45001.04</v>
      </c>
      <c r="M14" s="3" t="s">
        <v>69</v>
      </c>
      <c r="O14" s="3" t="s">
        <v>21</v>
      </c>
      <c r="P14" s="3" t="s">
        <v>22</v>
      </c>
      <c r="Q14" s="3" t="s">
        <v>23</v>
      </c>
    </row>
    <row r="16" spans="5:20" x14ac:dyDescent="0.2">
      <c r="E16" s="1" t="s">
        <v>75</v>
      </c>
      <c r="F16" s="3" t="s">
        <v>76</v>
      </c>
      <c r="G16" s="3" t="s">
        <v>77</v>
      </c>
      <c r="H16" s="3" t="s">
        <v>78</v>
      </c>
      <c r="L16" s="3" t="s">
        <v>79</v>
      </c>
      <c r="M16" s="3" t="s">
        <v>80</v>
      </c>
      <c r="N16" s="3" t="s">
        <v>20</v>
      </c>
      <c r="O16" s="3" t="s">
        <v>58</v>
      </c>
      <c r="P16">
        <v>4</v>
      </c>
      <c r="Q16" s="3" t="s">
        <v>81</v>
      </c>
      <c r="R16" s="3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Venegas Rubilar</dc:creator>
  <cp:lastModifiedBy>Carlos Venegas Rubilar</cp:lastModifiedBy>
  <dcterms:created xsi:type="dcterms:W3CDTF">2025-10-16T13:57:41Z</dcterms:created>
  <dcterms:modified xsi:type="dcterms:W3CDTF">2025-10-16T16:24:40Z</dcterms:modified>
</cp:coreProperties>
</file>